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tudentcoll\Desktop\МОЯ ПАПКА МАКСИМ ЗУЕВА\"/>
    </mc:Choice>
  </mc:AlternateContent>
  <xr:revisionPtr revIDLastSave="0" documentId="8_{2E5AEB86-118C-4889-8790-612DE437DCC2}" xr6:coauthVersionLast="45" xr6:coauthVersionMax="45" xr10:uidLastSave="{00000000-0000-0000-0000-000000000000}"/>
  <bookViews>
    <workbookView xWindow="3885" yWindow="810" windowWidth="21600" windowHeight="11385" activeTab="3" xr2:uid="{00000000-000D-0000-FFFF-FFFF00000000}"/>
  </bookViews>
  <sheets>
    <sheet name="Исходные данные" sheetId="1" r:id="rId1"/>
    <sheet name="Реестр" sheetId="2" r:id="rId2"/>
    <sheet name="Справочники" sheetId="3" r:id="rId3"/>
    <sheet name="Аналитика" sheetId="4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2" l="1"/>
  <c r="I2" i="2"/>
  <c r="I3" i="2"/>
  <c r="I4" i="2"/>
  <c r="I5" i="2"/>
  <c r="I6" i="2"/>
  <c r="I7" i="2"/>
  <c r="I8" i="2"/>
  <c r="I9" i="2"/>
  <c r="I10" i="2"/>
  <c r="H2" i="2"/>
  <c r="H3" i="2"/>
  <c r="H4" i="2"/>
  <c r="H5" i="2"/>
  <c r="H6" i="2"/>
  <c r="H7" i="2"/>
  <c r="H8" i="2"/>
  <c r="H9" i="2"/>
  <c r="H10" i="2"/>
  <c r="G3" i="2"/>
  <c r="G4" i="2"/>
  <c r="G5" i="2"/>
  <c r="G6" i="2"/>
  <c r="G7" i="2"/>
  <c r="G8" i="2"/>
  <c r="G9" i="2"/>
  <c r="G10" i="2"/>
  <c r="F3" i="3" l="1"/>
  <c r="F2" i="3"/>
  <c r="G2" i="3" s="1"/>
  <c r="F4" i="3"/>
  <c r="G4" i="3" s="1"/>
  <c r="F5" i="3"/>
  <c r="G5" i="3" s="1"/>
  <c r="E3" i="3"/>
  <c r="E4" i="3"/>
  <c r="E5" i="3"/>
  <c r="E2" i="3"/>
  <c r="F6" i="3" l="1"/>
  <c r="E6" i="3"/>
  <c r="G6" i="3" l="1"/>
  <c r="G3" i="3"/>
</calcChain>
</file>

<file path=xl/sharedStrings.xml><?xml version="1.0" encoding="utf-8"?>
<sst xmlns="http://schemas.openxmlformats.org/spreadsheetml/2006/main" count="71" uniqueCount="38">
  <si>
    <t>Фамилия</t>
  </si>
  <si>
    <t>№</t>
  </si>
  <si>
    <t>Оплата за день</t>
  </si>
  <si>
    <t>Количество дней</t>
  </si>
  <si>
    <t>Иванов</t>
  </si>
  <si>
    <t>Антонов</t>
  </si>
  <si>
    <t>Егорова</t>
  </si>
  <si>
    <t>Петрова</t>
  </si>
  <si>
    <t>Зарплата</t>
  </si>
  <si>
    <t>Налог в %</t>
  </si>
  <si>
    <t>Налога удержано</t>
  </si>
  <si>
    <t>Чистая зарплата</t>
  </si>
  <si>
    <t>Нелидко</t>
  </si>
  <si>
    <t>Киноворов</t>
  </si>
  <si>
    <t>Уж</t>
  </si>
  <si>
    <t>Блажаева</t>
  </si>
  <si>
    <t>Дата</t>
  </si>
  <si>
    <t>Менеджер</t>
  </si>
  <si>
    <t>Регион</t>
  </si>
  <si>
    <t>Этап1:Лиды</t>
  </si>
  <si>
    <t>Этап2:Встречи</t>
  </si>
  <si>
    <t>Этап3:Продажи</t>
  </si>
  <si>
    <t>Санкт-Петербург</t>
  </si>
  <si>
    <t>Тверь</t>
  </si>
  <si>
    <t>Москва</t>
  </si>
  <si>
    <t>Омск</t>
  </si>
  <si>
    <t>разянь</t>
  </si>
  <si>
    <t>Орел</t>
  </si>
  <si>
    <t>26.10.2026</t>
  </si>
  <si>
    <t>27.10.2026</t>
  </si>
  <si>
    <t>28.10.2026</t>
  </si>
  <si>
    <t>Конверсия из Лида во Встречу</t>
  </si>
  <si>
    <t>Конверсия из встречи продажы</t>
  </si>
  <si>
    <t>Общая конверсия (из Лида в Продажу)</t>
  </si>
  <si>
    <t>Названия строк</t>
  </si>
  <si>
    <t>Общий итог</t>
  </si>
  <si>
    <t>Сумма по полю Этап1:Лиды</t>
  </si>
  <si>
    <t>Сумма по полю Этап3:Продажи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</si>
</sst>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164" fontId="0" fillId="0" borderId="0" xfId="0" applyNumberFormat="1"/>
    <xf numFmtId="0" fontId="0" fillId="3" borderId="0" xfId="0" applyFill="1"/>
    <xf numFmtId="164" fontId="0" fillId="4" borderId="0" xfId="0" applyNumberFormat="1" applyFill="1"/>
    <xf numFmtId="164" fontId="0" fillId="5" borderId="0" xfId="0" applyNumberFormat="1" applyFill="1"/>
    <xf numFmtId="164" fontId="0" fillId="2" borderId="0" xfId="0" applyNumberFormat="1" applyFill="1"/>
    <xf numFmtId="9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numFmt numFmtId="13" formatCode="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numFmt numFmtId="13" formatCode="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numFmt numFmtId="13" formatCode="0%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204"/>
        <scheme val="none"/>
      </font>
      <numFmt numFmtId="30" formatCode="@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[Единая книга проекта.xlsx]Аналитика!Сводная таблица1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Аналитика!$B$1</c:f>
              <c:strCache>
                <c:ptCount val="1"/>
                <c:pt idx="0">
                  <c:v>Сумма по полю Этап1:Лиды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Аналитика!$A$2:$A$8</c:f>
              <c:strCache>
                <c:ptCount val="6"/>
                <c:pt idx="0">
                  <c:v>Блажаева</c:v>
                </c:pt>
                <c:pt idx="1">
                  <c:v>Иванов</c:v>
                </c:pt>
                <c:pt idx="2">
                  <c:v>Киноворов</c:v>
                </c:pt>
                <c:pt idx="3">
                  <c:v>Нелидко</c:v>
                </c:pt>
                <c:pt idx="4">
                  <c:v>Петрова</c:v>
                </c:pt>
                <c:pt idx="5">
                  <c:v>Уж</c:v>
                </c:pt>
              </c:strCache>
            </c:strRef>
          </c:cat>
          <c:val>
            <c:numRef>
              <c:f>Аналитика!$B$2:$B$8</c:f>
              <c:numCache>
                <c:formatCode>General</c:formatCode>
                <c:ptCount val="6"/>
                <c:pt idx="0">
                  <c:v>30</c:v>
                </c:pt>
                <c:pt idx="1">
                  <c:v>65</c:v>
                </c:pt>
                <c:pt idx="2">
                  <c:v>50</c:v>
                </c:pt>
                <c:pt idx="3">
                  <c:v>61</c:v>
                </c:pt>
                <c:pt idx="4">
                  <c:v>14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F-40F6-B0C8-F9F41F41563F}"/>
            </c:ext>
          </c:extLst>
        </c:ser>
        <c:ser>
          <c:idx val="1"/>
          <c:order val="1"/>
          <c:tx>
            <c:strRef>
              <c:f>Аналитика!$C$1</c:f>
              <c:strCache>
                <c:ptCount val="1"/>
                <c:pt idx="0">
                  <c:v>Сумма по полю Этап3:Продажи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Аналитика!$A$2:$A$8</c:f>
              <c:strCache>
                <c:ptCount val="6"/>
                <c:pt idx="0">
                  <c:v>Блажаева</c:v>
                </c:pt>
                <c:pt idx="1">
                  <c:v>Иванов</c:v>
                </c:pt>
                <c:pt idx="2">
                  <c:v>Киноворов</c:v>
                </c:pt>
                <c:pt idx="3">
                  <c:v>Нелидко</c:v>
                </c:pt>
                <c:pt idx="4">
                  <c:v>Петрова</c:v>
                </c:pt>
                <c:pt idx="5">
                  <c:v>Уж</c:v>
                </c:pt>
              </c:strCache>
            </c:strRef>
          </c:cat>
          <c:val>
            <c:numRef>
              <c:f>Аналитика!$C$2:$C$8</c:f>
              <c:numCache>
                <c:formatCode>General</c:formatCode>
                <c:ptCount val="6"/>
                <c:pt idx="0">
                  <c:v>8</c:v>
                </c:pt>
                <c:pt idx="1">
                  <c:v>17</c:v>
                </c:pt>
                <c:pt idx="2">
                  <c:v>1</c:v>
                </c:pt>
                <c:pt idx="3">
                  <c:v>18</c:v>
                </c:pt>
                <c:pt idx="4">
                  <c:v>11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AF-40F6-B0C8-F9F41F415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30895"/>
        <c:axId val="217655583"/>
      </c:barChart>
      <c:catAx>
        <c:axId val="3173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7655583"/>
        <c:crosses val="autoZero"/>
        <c:auto val="1"/>
        <c:lblAlgn val="ctr"/>
        <c:lblOffset val="100"/>
        <c:noMultiLvlLbl val="0"/>
      </c:catAx>
      <c:valAx>
        <c:axId val="21765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73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"/>
          <c:y val="0.32863407699037622"/>
          <c:w val="0.33333333333333331"/>
          <c:h val="0.32421296296296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133350</xdr:rowOff>
    </xdr:from>
    <xdr:to>
      <xdr:col>2</xdr:col>
      <xdr:colOff>1619250</xdr:colOff>
      <xdr:row>23</xdr:row>
      <xdr:rowOff>19050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58F63B2E-E806-461A-8BDF-19BBC5720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coll" refreshedDate="46321.594451736113" createdVersion="6" refreshedVersion="6" minRefreshableVersion="3" recordCount="9" xr:uid="{73EF23A8-F215-45E0-8866-603078357FE8}">
  <cacheSource type="worksheet">
    <worksheetSource name="ДанныеПродаж"/>
  </cacheSource>
  <cacheFields count="9">
    <cacheField name="Дата" numFmtId="49">
      <sharedItems/>
    </cacheField>
    <cacheField name="Менеджер" numFmtId="1">
      <sharedItems count="6">
        <s v="Иванов"/>
        <s v="Нелидко"/>
        <s v="Блажаева"/>
        <s v="Уж"/>
        <s v="Петрова"/>
        <s v="Киноворов"/>
      </sharedItems>
    </cacheField>
    <cacheField name="Регион" numFmtId="0">
      <sharedItems count="4">
        <s v="Тверь"/>
        <s v="Москва"/>
        <s v="Санкт-Петербург"/>
        <s v="Омск"/>
      </sharedItems>
    </cacheField>
    <cacheField name="Этап1:Лиды" numFmtId="0">
      <sharedItems containsSemiMixedTypes="0" containsString="0" containsNumber="1" containsInteger="1" minValue="14" maxValue="50"/>
    </cacheField>
    <cacheField name="Этап2:Встречи" numFmtId="0">
      <sharedItems containsSemiMixedTypes="0" containsString="0" containsNumber="1" containsInteger="1" minValue="6" maxValue="37"/>
    </cacheField>
    <cacheField name="Этап3:Продажи" numFmtId="0">
      <sharedItems containsSemiMixedTypes="0" containsString="0" containsNumber="1" containsInteger="1" minValue="1" maxValue="16"/>
    </cacheField>
    <cacheField name="Конверсия из Лида во Встречу" numFmtId="9">
      <sharedItems containsSemiMixedTypes="0" containsString="0" containsNumber="1" minValue="0.24" maxValue="1.5"/>
    </cacheField>
    <cacheField name="Конверсия из встречи продажы" numFmtId="9">
      <sharedItems containsSemiMixedTypes="0" containsString="0" containsNumber="1" minValue="4.7619047619047616E-2" maxValue="0.75"/>
    </cacheField>
    <cacheField name="Общая конверсия (из Лида в Продажу)" numFmtId="9">
      <sharedItems containsSemiMixedTypes="0" containsString="0" containsNumber="1" minValue="0.02" maxValue="0.7857142857142857"/>
    </cacheField>
  </cacheFields>
  <extLst>
    <ext xmlns:x14="http://schemas.microsoft.com/office/spreadsheetml/2009/9/main" uri="{725AE2AE-9491-48be-B2B4-4EB974FC3084}">
      <x14:pivotCacheDefinition pivotCacheId="1492453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26.10.2026"/>
    <x v="0"/>
    <x v="0"/>
    <n v="40"/>
    <n v="20"/>
    <n v="15"/>
    <n v="0.5"/>
    <n v="0.75"/>
    <n v="0.375"/>
  </r>
  <r>
    <s v="26.10.2026"/>
    <x v="1"/>
    <x v="1"/>
    <n v="20"/>
    <n v="10"/>
    <n v="2"/>
    <n v="0.5"/>
    <n v="0.2"/>
    <n v="0.1"/>
  </r>
  <r>
    <s v="26.10.2026"/>
    <x v="2"/>
    <x v="2"/>
    <n v="30"/>
    <n v="19"/>
    <n v="8"/>
    <n v="0.6333333333333333"/>
    <n v="0.42105263157894735"/>
    <n v="0.26666666666666666"/>
  </r>
  <r>
    <s v="26.10.2026"/>
    <x v="3"/>
    <x v="1"/>
    <n v="15"/>
    <n v="11"/>
    <n v="5"/>
    <n v="0.73333333333333328"/>
    <n v="0.45454545454545453"/>
    <n v="0.33333333333333331"/>
  </r>
  <r>
    <s v="27.10.2026"/>
    <x v="0"/>
    <x v="3"/>
    <n v="25"/>
    <n v="6"/>
    <n v="2"/>
    <n v="0.24"/>
    <n v="0.33333333333333331"/>
    <n v="0.08"/>
  </r>
  <r>
    <s v="27.10.2026"/>
    <x v="3"/>
    <x v="0"/>
    <n v="14"/>
    <n v="11"/>
    <n v="8"/>
    <n v="0.7857142857142857"/>
    <n v="0.72727272727272729"/>
    <n v="0.5714285714285714"/>
  </r>
  <r>
    <s v="28.10.2026"/>
    <x v="4"/>
    <x v="2"/>
    <n v="14"/>
    <n v="21"/>
    <n v="11"/>
    <n v="1.5"/>
    <n v="0.52380952380952384"/>
    <n v="0.7857142857142857"/>
  </r>
  <r>
    <s v="28.10.2026"/>
    <x v="5"/>
    <x v="2"/>
    <n v="50"/>
    <n v="21"/>
    <n v="1"/>
    <n v="0.42"/>
    <n v="4.7619047619047616E-2"/>
    <n v="0.02"/>
  </r>
  <r>
    <s v="28.10.2026"/>
    <x v="1"/>
    <x v="3"/>
    <n v="41"/>
    <n v="37"/>
    <n v="16"/>
    <n v="0.90243902439024393"/>
    <n v="0.43243243243243246"/>
    <n v="0.39024390243902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D4AE1-3A82-4649-A439-4103133ACFF3}" name="Сводная таблица1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6">
  <location ref="A1:C8" firstHeaderRow="0" firstDataRow="1" firstDataCol="1"/>
  <pivotFields count="9">
    <pivotField showAll="0"/>
    <pivotField axis="axisRow" showAll="0">
      <items count="7">
        <item x="2"/>
        <item x="0"/>
        <item x="5"/>
        <item x="1"/>
        <item x="4"/>
        <item x="3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dataField="1" showAll="0"/>
    <pivotField showAll="0"/>
    <pivotField dataField="1" showAll="0"/>
    <pivotField numFmtId="9" showAll="0"/>
    <pivotField numFmtId="9" showAll="0"/>
    <pivotField numFmtId="9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Этап1:Лиды" fld="3" baseField="0" baseItem="0"/>
    <dataField name="Сумма по полю Этап3:Продажи" fld="5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8FF324-83F0-4524-A1C3-1D69C5E84B8B}" name="ДанныеПродаж" displayName="ДанныеПродаж" ref="A1:I10" totalsRowShown="0" headerRowDxfId="3">
  <autoFilter ref="A1:I10" xr:uid="{70C8209E-1C19-4E30-BF37-B7CD5794671A}"/>
  <tableColumns count="9">
    <tableColumn id="1" xr3:uid="{9868550C-9061-4D48-9903-9361D0413333}" name="Дата" dataDxfId="9"/>
    <tableColumn id="2" xr3:uid="{055C15ED-6707-4B88-8B3B-032ED0CA9281}" name="Менеджер" dataDxfId="8"/>
    <tableColumn id="3" xr3:uid="{64F3F9AA-2FEE-44E5-AFDC-B49670040F91}" name="Регион" dataDxfId="7"/>
    <tableColumn id="4" xr3:uid="{3C15FACF-87F8-41C4-90DC-D4B0916D0D18}" name="Этап1:Лиды" dataDxfId="6"/>
    <tableColumn id="5" xr3:uid="{F427BFD4-82FB-41EE-901A-5D07C0C9A67C}" name="Этап2:Встречи" dataDxfId="5"/>
    <tableColumn id="6" xr3:uid="{A8E1A2CC-E89C-4898-95CB-EBFEE349C9DC}" name="Этап3:Продажи" dataDxfId="4"/>
    <tableColumn id="7" xr3:uid="{302574FA-8B02-4AEE-99B0-1849FB8C04B4}" name="Конверсия из Лида во Встречу" dataDxfId="2">
      <calculatedColumnFormula>ДанныеПродаж[[#This Row],[Этап2:Встречи]]/ДанныеПродаж[[#This Row],[Этап1:Лиды]]</calculatedColumnFormula>
    </tableColumn>
    <tableColumn id="8" xr3:uid="{06186092-8911-4527-8C40-94913C1FAC4C}" name="Конверсия из встречи продажы" dataDxfId="1">
      <calculatedColumnFormula>ДанныеПродаж[[#This Row],[Этап3:Продажи]]/ДанныеПродаж[[#This Row],[Этап2:Встречи]]</calculatedColumnFormula>
    </tableColumn>
    <tableColumn id="9" xr3:uid="{1532A314-3E4F-40E3-A075-A93E8792A6D5}" name="Общая конверсия (из Лида в Продажу)" dataDxfId="0">
      <calculatedColumnFormula>ДанныеПродаж[[#This Row],[Этап3:Продажи]]/ДанныеПродаж[[#This Row],[Этап1:Лиды]]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205" zoomScaleNormal="205" workbookViewId="0">
      <selection activeCell="B9" sqref="B9"/>
    </sheetView>
  </sheetViews>
  <sheetFormatPr defaultColWidth="9.140625" defaultRowHeight="15" x14ac:dyDescent="0.25"/>
  <cols>
    <col min="1" max="1" width="10.140625" customWidth="1"/>
    <col min="2" max="2" width="16.5703125" bestFit="1" customWidth="1"/>
  </cols>
  <sheetData>
    <row r="1" spans="1:2" x14ac:dyDescent="0.25">
      <c r="A1" t="s">
        <v>9</v>
      </c>
      <c r="B1" s="9">
        <v>20</v>
      </c>
    </row>
    <row r="3" spans="1:2" x14ac:dyDescent="0.25">
      <c r="A3" t="s">
        <v>0</v>
      </c>
    </row>
    <row r="4" spans="1:2" x14ac:dyDescent="0.25">
      <c r="A4" t="s">
        <v>4</v>
      </c>
      <c r="B4" t="s">
        <v>22</v>
      </c>
    </row>
    <row r="5" spans="1:2" x14ac:dyDescent="0.25">
      <c r="A5" t="s">
        <v>7</v>
      </c>
      <c r="B5" t="s">
        <v>23</v>
      </c>
    </row>
    <row r="6" spans="1:2" x14ac:dyDescent="0.25">
      <c r="A6" t="s">
        <v>12</v>
      </c>
      <c r="B6" t="s">
        <v>24</v>
      </c>
    </row>
    <row r="7" spans="1:2" x14ac:dyDescent="0.25">
      <c r="A7" t="s">
        <v>15</v>
      </c>
      <c r="B7" t="s">
        <v>25</v>
      </c>
    </row>
    <row r="8" spans="1:2" x14ac:dyDescent="0.25">
      <c r="A8" t="s">
        <v>13</v>
      </c>
      <c r="B8" t="s">
        <v>26</v>
      </c>
    </row>
    <row r="9" spans="1:2" x14ac:dyDescent="0.25">
      <c r="A9" t="s">
        <v>14</v>
      </c>
      <c r="B9" t="s">
        <v>27</v>
      </c>
    </row>
  </sheetData>
  <dataValidations count="2">
    <dataValidation type="whole" allowBlank="1" showInputMessage="1" showErrorMessage="1" errorTitle="дипапазон ввода" error="Укажите число от 0 до 100" promptTitle="Значение налога" prompt="Укажите число от 0 до 100" sqref="B1" xr:uid="{1EE7F511-8A89-4A18-8AFE-95E1EBD52CFA}">
      <formula1>0</formula1>
      <formula2>100</formula2>
    </dataValidation>
    <dataValidation type="textLength" operator="greaterThanOrEqual" allowBlank="1" showInputMessage="1" showErrorMessage="1" sqref="A4:A5 A7:A10 A6" xr:uid="{2B08B29B-080C-4FE3-8B87-5FD945809795}">
      <formula1>2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F748-92A8-401B-9438-AB289EF58AD0}">
  <dimension ref="A1:I10"/>
  <sheetViews>
    <sheetView zoomScale="70" zoomScaleNormal="70" workbookViewId="0">
      <selection activeCell="G2" sqref="G2"/>
    </sheetView>
  </sheetViews>
  <sheetFormatPr defaultColWidth="9.140625" defaultRowHeight="18" x14ac:dyDescent="0.25"/>
  <cols>
    <col min="1" max="1" width="15.42578125" style="6" bestFit="1" customWidth="1"/>
    <col min="2" max="2" width="15.42578125" style="5" bestFit="1" customWidth="1"/>
    <col min="3" max="3" width="22.85546875" style="2" bestFit="1" customWidth="1"/>
    <col min="4" max="4" width="18.140625" style="2" bestFit="1" customWidth="1"/>
    <col min="5" max="5" width="20.7109375" style="4" customWidth="1"/>
    <col min="6" max="6" width="21.7109375" style="4" customWidth="1"/>
    <col min="7" max="7" width="49.28515625" style="4" bestFit="1" customWidth="1"/>
    <col min="8" max="8" width="50.5703125" style="4" bestFit="1" customWidth="1"/>
    <col min="9" max="9" width="60.28515625" style="4" bestFit="1" customWidth="1"/>
    <col min="10" max="16384" width="9.140625" style="4"/>
  </cols>
  <sheetData>
    <row r="1" spans="1:9" x14ac:dyDescent="0.25">
      <c r="A1" s="6" t="s">
        <v>16</v>
      </c>
      <c r="B1" s="3" t="s">
        <v>17</v>
      </c>
      <c r="C1" s="3" t="s">
        <v>18</v>
      </c>
      <c r="D1" s="3" t="s">
        <v>19</v>
      </c>
      <c r="E1" s="4" t="s">
        <v>20</v>
      </c>
      <c r="F1" s="4" t="s">
        <v>21</v>
      </c>
      <c r="G1" s="3" t="s">
        <v>31</v>
      </c>
      <c r="H1" s="3" t="s">
        <v>32</v>
      </c>
      <c r="I1" s="3" t="s">
        <v>33</v>
      </c>
    </row>
    <row r="2" spans="1:9" s="2" customFormat="1" x14ac:dyDescent="0.25">
      <c r="A2" s="7" t="s">
        <v>28</v>
      </c>
      <c r="B2" s="5" t="s">
        <v>4</v>
      </c>
      <c r="C2" s="2" t="s">
        <v>23</v>
      </c>
      <c r="D2" s="2">
        <v>40</v>
      </c>
      <c r="E2" s="2">
        <v>20</v>
      </c>
      <c r="F2" s="2">
        <v>15</v>
      </c>
      <c r="G2" s="13">
        <f>ДанныеПродаж[[#This Row],[Этап2:Встречи]]/ДанныеПродаж[[#This Row],[Этап1:Лиды]]</f>
        <v>0.5</v>
      </c>
      <c r="H2" s="14">
        <f>ДанныеПродаж[[#This Row],[Этап3:Продажи]]/ДанныеПродаж[[#This Row],[Этап2:Встречи]]</f>
        <v>0.75</v>
      </c>
      <c r="I2" s="14">
        <f>ДанныеПродаж[[#This Row],[Этап3:Продажи]]/ДанныеПродаж[[#This Row],[Этап1:Лиды]]</f>
        <v>0.375</v>
      </c>
    </row>
    <row r="3" spans="1:9" x14ac:dyDescent="0.25">
      <c r="A3" s="7" t="s">
        <v>28</v>
      </c>
      <c r="B3" s="5" t="s">
        <v>12</v>
      </c>
      <c r="C3" s="2" t="s">
        <v>24</v>
      </c>
      <c r="D3" s="2">
        <v>20</v>
      </c>
      <c r="E3" s="2">
        <v>10</v>
      </c>
      <c r="F3" s="2">
        <v>2</v>
      </c>
      <c r="G3" s="14">
        <f>ДанныеПродаж[[#This Row],[Этап2:Встречи]]/ДанныеПродаж[[#This Row],[Этап1:Лиды]]</f>
        <v>0.5</v>
      </c>
      <c r="H3" s="14">
        <f>ДанныеПродаж[[#This Row],[Этап3:Продажи]]/ДанныеПродаж[[#This Row],[Этап2:Встречи]]</f>
        <v>0.2</v>
      </c>
      <c r="I3" s="14">
        <f>ДанныеПродаж[[#This Row],[Этап3:Продажи]]/ДанныеПродаж[[#This Row],[Этап1:Лиды]]</f>
        <v>0.1</v>
      </c>
    </row>
    <row r="4" spans="1:9" x14ac:dyDescent="0.25">
      <c r="A4" s="7" t="s">
        <v>28</v>
      </c>
      <c r="B4" s="5" t="s">
        <v>15</v>
      </c>
      <c r="C4" s="2" t="s">
        <v>22</v>
      </c>
      <c r="D4" s="2">
        <v>30</v>
      </c>
      <c r="E4" s="2">
        <v>19</v>
      </c>
      <c r="F4" s="2">
        <v>8</v>
      </c>
      <c r="G4" s="14">
        <f>ДанныеПродаж[[#This Row],[Этап2:Встречи]]/ДанныеПродаж[[#This Row],[Этап1:Лиды]]</f>
        <v>0.6333333333333333</v>
      </c>
      <c r="H4" s="14">
        <f>ДанныеПродаж[[#This Row],[Этап3:Продажи]]/ДанныеПродаж[[#This Row],[Этап2:Встречи]]</f>
        <v>0.42105263157894735</v>
      </c>
      <c r="I4" s="14">
        <f>ДанныеПродаж[[#This Row],[Этап3:Продажи]]/ДанныеПродаж[[#This Row],[Этап1:Лиды]]</f>
        <v>0.26666666666666666</v>
      </c>
    </row>
    <row r="5" spans="1:9" x14ac:dyDescent="0.25">
      <c r="A5" s="7" t="s">
        <v>28</v>
      </c>
      <c r="B5" s="5" t="s">
        <v>14</v>
      </c>
      <c r="C5" s="2" t="s">
        <v>24</v>
      </c>
      <c r="D5" s="2">
        <v>15</v>
      </c>
      <c r="E5" s="2">
        <v>11</v>
      </c>
      <c r="F5" s="2">
        <v>5</v>
      </c>
      <c r="G5" s="14">
        <f>ДанныеПродаж[[#This Row],[Этап2:Встречи]]/ДанныеПродаж[[#This Row],[Этап1:Лиды]]</f>
        <v>0.73333333333333328</v>
      </c>
      <c r="H5" s="14">
        <f>ДанныеПродаж[[#This Row],[Этап3:Продажи]]/ДанныеПродаж[[#This Row],[Этап2:Встречи]]</f>
        <v>0.45454545454545453</v>
      </c>
      <c r="I5" s="14">
        <f>ДанныеПродаж[[#This Row],[Этап3:Продажи]]/ДанныеПродаж[[#This Row],[Этап1:Лиды]]</f>
        <v>0.33333333333333331</v>
      </c>
    </row>
    <row r="6" spans="1:9" x14ac:dyDescent="0.25">
      <c r="A6" s="7" t="s">
        <v>29</v>
      </c>
      <c r="B6" s="5" t="s">
        <v>4</v>
      </c>
      <c r="C6" s="2" t="s">
        <v>25</v>
      </c>
      <c r="D6" s="2">
        <v>25</v>
      </c>
      <c r="E6" s="2">
        <v>6</v>
      </c>
      <c r="F6" s="2">
        <v>2</v>
      </c>
      <c r="G6" s="14">
        <f>ДанныеПродаж[[#This Row],[Этап2:Встречи]]/ДанныеПродаж[[#This Row],[Этап1:Лиды]]</f>
        <v>0.24</v>
      </c>
      <c r="H6" s="14">
        <f>ДанныеПродаж[[#This Row],[Этап3:Продажи]]/ДанныеПродаж[[#This Row],[Этап2:Встречи]]</f>
        <v>0.33333333333333331</v>
      </c>
      <c r="I6" s="14">
        <f>ДанныеПродаж[[#This Row],[Этап3:Продажи]]/ДанныеПродаж[[#This Row],[Этап1:Лиды]]</f>
        <v>0.08</v>
      </c>
    </row>
    <row r="7" spans="1:9" x14ac:dyDescent="0.25">
      <c r="A7" s="7" t="s">
        <v>29</v>
      </c>
      <c r="B7" s="5" t="s">
        <v>14</v>
      </c>
      <c r="C7" s="2" t="s">
        <v>23</v>
      </c>
      <c r="D7" s="2">
        <v>14</v>
      </c>
      <c r="E7" s="2">
        <v>11</v>
      </c>
      <c r="F7" s="2">
        <v>8</v>
      </c>
      <c r="G7" s="14">
        <f>ДанныеПродаж[[#This Row],[Этап2:Встречи]]/ДанныеПродаж[[#This Row],[Этап1:Лиды]]</f>
        <v>0.7857142857142857</v>
      </c>
      <c r="H7" s="14">
        <f>ДанныеПродаж[[#This Row],[Этап3:Продажи]]/ДанныеПродаж[[#This Row],[Этап2:Встречи]]</f>
        <v>0.72727272727272729</v>
      </c>
      <c r="I7" s="14">
        <f>ДанныеПродаж[[#This Row],[Этап3:Продажи]]/ДанныеПродаж[[#This Row],[Этап1:Лиды]]</f>
        <v>0.5714285714285714</v>
      </c>
    </row>
    <row r="8" spans="1:9" x14ac:dyDescent="0.25">
      <c r="A8" s="7" t="s">
        <v>30</v>
      </c>
      <c r="B8" s="5" t="s">
        <v>7</v>
      </c>
      <c r="C8" s="2" t="s">
        <v>22</v>
      </c>
      <c r="D8" s="2">
        <v>14</v>
      </c>
      <c r="E8" s="4">
        <v>21</v>
      </c>
      <c r="F8" s="4">
        <v>11</v>
      </c>
      <c r="G8" s="14">
        <f>ДанныеПродаж[[#This Row],[Этап2:Встречи]]/ДанныеПродаж[[#This Row],[Этап1:Лиды]]</f>
        <v>1.5</v>
      </c>
      <c r="H8" s="14">
        <f>ДанныеПродаж[[#This Row],[Этап3:Продажи]]/ДанныеПродаж[[#This Row],[Этап2:Встречи]]</f>
        <v>0.52380952380952384</v>
      </c>
      <c r="I8" s="14">
        <f>ДанныеПродаж[[#This Row],[Этап3:Продажи]]/ДанныеПродаж[[#This Row],[Этап1:Лиды]]</f>
        <v>0.7857142857142857</v>
      </c>
    </row>
    <row r="9" spans="1:9" x14ac:dyDescent="0.25">
      <c r="A9" s="7" t="s">
        <v>30</v>
      </c>
      <c r="B9" s="5" t="s">
        <v>13</v>
      </c>
      <c r="C9" s="2" t="s">
        <v>22</v>
      </c>
      <c r="D9" s="2">
        <v>50</v>
      </c>
      <c r="E9" s="4">
        <v>21</v>
      </c>
      <c r="F9" s="4">
        <v>1</v>
      </c>
      <c r="G9" s="14">
        <f>ДанныеПродаж[[#This Row],[Этап2:Встречи]]/ДанныеПродаж[[#This Row],[Этап1:Лиды]]</f>
        <v>0.42</v>
      </c>
      <c r="H9" s="14">
        <f>ДанныеПродаж[[#This Row],[Этап3:Продажи]]/ДанныеПродаж[[#This Row],[Этап2:Встречи]]</f>
        <v>4.7619047619047616E-2</v>
      </c>
      <c r="I9" s="14">
        <f>ДанныеПродаж[[#This Row],[Этап3:Продажи]]/ДанныеПродаж[[#This Row],[Этап1:Лиды]]</f>
        <v>0.02</v>
      </c>
    </row>
    <row r="10" spans="1:9" x14ac:dyDescent="0.25">
      <c r="A10" s="7" t="s">
        <v>30</v>
      </c>
      <c r="B10" s="5" t="s">
        <v>12</v>
      </c>
      <c r="C10" s="2" t="s">
        <v>25</v>
      </c>
      <c r="D10" s="2">
        <v>41</v>
      </c>
      <c r="E10" s="4">
        <v>37</v>
      </c>
      <c r="F10" s="4">
        <v>16</v>
      </c>
      <c r="G10" s="14">
        <f>ДанныеПродаж[[#This Row],[Этап2:Встречи]]/ДанныеПродаж[[#This Row],[Этап1:Лиды]]</f>
        <v>0.90243902439024393</v>
      </c>
      <c r="H10" s="14">
        <f>ДанныеПродаж[[#This Row],[Этап3:Продажи]]/ДанныеПродаж[[#This Row],[Этап2:Встречи]]</f>
        <v>0.43243243243243246</v>
      </c>
      <c r="I10" s="14">
        <f>ДанныеПродаж[[#This Row],[Этап3:Продажи]]/ДанныеПродаж[[#This Row],[Этап1:Лиды]]</f>
        <v>0.3902439024390244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FF50691-8613-4C25-A9F0-FB6A6D4ABE84}">
          <x14:formula1>
            <xm:f>'Исходные данные'!$A$4:$A$9</xm:f>
          </x14:formula1>
          <xm:sqref>B1:B1048576</xm:sqref>
        </x14:dataValidation>
        <x14:dataValidation type="list" allowBlank="1" showInputMessage="1" showErrorMessage="1" xr:uid="{CA42B31A-6F60-4902-A5B2-D7DB15B50176}">
          <x14:formula1>
            <xm:f>'Исходные данные'!$B$4:$B$9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74D2-FE0D-4AFE-A9FA-7FB05DF50F53}">
  <dimension ref="A1:G6"/>
  <sheetViews>
    <sheetView zoomScale="250" zoomScaleNormal="250" workbookViewId="0">
      <selection activeCell="D6" sqref="D6"/>
    </sheetView>
  </sheetViews>
  <sheetFormatPr defaultRowHeight="15" x14ac:dyDescent="0.25"/>
  <cols>
    <col min="3" max="3" width="14.85546875" style="8" bestFit="1" customWidth="1"/>
    <col min="4" max="4" width="16.7109375" bestFit="1" customWidth="1"/>
    <col min="5" max="5" width="13.85546875" customWidth="1"/>
    <col min="6" max="6" width="20.85546875" customWidth="1"/>
    <col min="7" max="7" width="15.7109375" bestFit="1" customWidth="1"/>
  </cols>
  <sheetData>
    <row r="1" spans="1:7" s="1" customFormat="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8</v>
      </c>
      <c r="F1" s="1" t="s">
        <v>10</v>
      </c>
      <c r="G1" s="1" t="s">
        <v>11</v>
      </c>
    </row>
    <row r="2" spans="1:7" x14ac:dyDescent="0.25">
      <c r="A2">
        <v>1</v>
      </c>
      <c r="B2" t="s">
        <v>7</v>
      </c>
      <c r="C2" s="8">
        <v>2500</v>
      </c>
      <c r="D2">
        <v>21</v>
      </c>
      <c r="E2" s="8">
        <f>C2*D2</f>
        <v>52500</v>
      </c>
      <c r="F2" s="8">
        <f>E2*'Исходные данные'!$B$1/100</f>
        <v>10500</v>
      </c>
      <c r="G2" s="8">
        <f>E2-F2</f>
        <v>42000</v>
      </c>
    </row>
    <row r="3" spans="1:7" x14ac:dyDescent="0.25">
      <c r="A3">
        <v>2</v>
      </c>
      <c r="B3" t="s">
        <v>4</v>
      </c>
      <c r="C3" s="8">
        <v>3200</v>
      </c>
      <c r="D3">
        <v>15</v>
      </c>
      <c r="E3" s="8">
        <f t="shared" ref="E3:E5" si="0">C3*D3</f>
        <v>48000</v>
      </c>
      <c r="F3" s="8">
        <f>E3*'Исходные данные'!$B$1/100</f>
        <v>9600</v>
      </c>
      <c r="G3" s="8">
        <f t="shared" ref="G3:G6" si="1">E3-F3</f>
        <v>38400</v>
      </c>
    </row>
    <row r="4" spans="1:7" x14ac:dyDescent="0.25">
      <c r="A4">
        <v>3</v>
      </c>
      <c r="B4" t="s">
        <v>6</v>
      </c>
      <c r="C4" s="8">
        <v>2700</v>
      </c>
      <c r="D4">
        <v>30</v>
      </c>
      <c r="E4" s="8">
        <f t="shared" si="0"/>
        <v>81000</v>
      </c>
      <c r="F4" s="8">
        <f>E4*'Исходные данные'!$B$1/100</f>
        <v>16200</v>
      </c>
      <c r="G4" s="8">
        <f t="shared" si="1"/>
        <v>64800</v>
      </c>
    </row>
    <row r="5" spans="1:7" x14ac:dyDescent="0.25">
      <c r="A5">
        <v>4</v>
      </c>
      <c r="B5" t="s">
        <v>5</v>
      </c>
      <c r="C5" s="8">
        <v>4000</v>
      </c>
      <c r="D5">
        <v>10</v>
      </c>
      <c r="E5" s="8">
        <f t="shared" si="0"/>
        <v>40000</v>
      </c>
      <c r="F5" s="8">
        <f>E5*'Исходные данные'!$B$1/100</f>
        <v>8000</v>
      </c>
      <c r="G5" s="8">
        <f t="shared" si="1"/>
        <v>32000</v>
      </c>
    </row>
    <row r="6" spans="1:7" x14ac:dyDescent="0.25">
      <c r="E6" s="12">
        <f>SUM(E2:E5)</f>
        <v>221500</v>
      </c>
      <c r="F6" s="11">
        <f>SUM(F2:F5)</f>
        <v>44300</v>
      </c>
      <c r="G6" s="10">
        <f t="shared" si="1"/>
        <v>177200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C9DA-DBF6-4D90-92F4-774B22D459B8}">
  <dimension ref="A1:C8"/>
  <sheetViews>
    <sheetView tabSelected="1" workbookViewId="0">
      <selection activeCell="C5" sqref="C5"/>
    </sheetView>
  </sheetViews>
  <sheetFormatPr defaultRowHeight="15" x14ac:dyDescent="0.25"/>
  <cols>
    <col min="1" max="1" width="17.28515625" bestFit="1" customWidth="1"/>
    <col min="2" max="2" width="27.42578125" bestFit="1" customWidth="1"/>
    <col min="3" max="3" width="30.85546875" bestFit="1" customWidth="1"/>
  </cols>
  <sheetData>
    <row r="1" spans="1:3" x14ac:dyDescent="0.25">
      <c r="A1" s="15" t="s">
        <v>34</v>
      </c>
      <c r="B1" t="s">
        <v>36</v>
      </c>
      <c r="C1" t="s">
        <v>37</v>
      </c>
    </row>
    <row r="2" spans="1:3" x14ac:dyDescent="0.25">
      <c r="A2" s="16" t="s">
        <v>15</v>
      </c>
      <c r="B2" s="17">
        <v>30</v>
      </c>
      <c r="C2" s="17">
        <v>8</v>
      </c>
    </row>
    <row r="3" spans="1:3" x14ac:dyDescent="0.25">
      <c r="A3" s="16" t="s">
        <v>4</v>
      </c>
      <c r="B3" s="17">
        <v>65</v>
      </c>
      <c r="C3" s="17">
        <v>17</v>
      </c>
    </row>
    <row r="4" spans="1:3" x14ac:dyDescent="0.25">
      <c r="A4" s="16" t="s">
        <v>13</v>
      </c>
      <c r="B4" s="17">
        <v>50</v>
      </c>
      <c r="C4" s="17">
        <v>1</v>
      </c>
    </row>
    <row r="5" spans="1:3" x14ac:dyDescent="0.25">
      <c r="A5" s="16" t="s">
        <v>12</v>
      </c>
      <c r="B5" s="17">
        <v>61</v>
      </c>
      <c r="C5" s="17">
        <v>18</v>
      </c>
    </row>
    <row r="6" spans="1:3" x14ac:dyDescent="0.25">
      <c r="A6" s="16" t="s">
        <v>7</v>
      </c>
      <c r="B6" s="17">
        <v>14</v>
      </c>
      <c r="C6" s="17">
        <v>11</v>
      </c>
    </row>
    <row r="7" spans="1:3" x14ac:dyDescent="0.25">
      <c r="A7" s="16" t="s">
        <v>14</v>
      </c>
      <c r="B7" s="17">
        <v>29</v>
      </c>
      <c r="C7" s="17">
        <v>13</v>
      </c>
    </row>
    <row r="8" spans="1:3" x14ac:dyDescent="0.25">
      <c r="A8" s="16" t="s">
        <v>35</v>
      </c>
      <c r="B8" s="17">
        <v>249</v>
      </c>
      <c r="C8" s="17">
        <v>68</v>
      </c>
    </row>
  </sheetData>
  <pageMargins left="0.7" right="0.7" top="0.75" bottom="0.75" header="0.3" footer="0.3"/>
  <pageSetup paperSize="9" orientation="portrait" horizontalDpi="1200" verticalDpi="12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Исходные данные</vt:lpstr>
      <vt:lpstr>Реестр</vt:lpstr>
      <vt:lpstr>Справочники</vt:lpstr>
      <vt:lpstr>Аналитика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studentcoll</cp:lastModifiedBy>
  <cp:lastPrinted>2026-10-26T11:21:27Z</cp:lastPrinted>
  <dcterms:created xsi:type="dcterms:W3CDTF">2015-06-05T18:19:34Z</dcterms:created>
  <dcterms:modified xsi:type="dcterms:W3CDTF">2026-10-26T11:22:24Z</dcterms:modified>
</cp:coreProperties>
</file>